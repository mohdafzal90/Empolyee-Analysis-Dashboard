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hda\OneDrive\Desktop\"/>
    </mc:Choice>
  </mc:AlternateContent>
  <xr:revisionPtr revIDLastSave="0" documentId="13_ncr:1_{39BCCEAE-3DD1-4DF3-99B7-BF71FF69BA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Data" sheetId="2" r:id="rId1"/>
    <sheet name="Summary" sheetId="6" r:id="rId2"/>
    <sheet name="Dashboard" sheetId="1" r:id="rId3"/>
    <sheet name="Dashboard Data" sheetId="3" state="hidden" r:id="rId4"/>
  </sheets>
  <calcPr calcId="191029"/>
</workbook>
</file>

<file path=xl/sharedStrings.xml><?xml version="1.0" encoding="utf-8"?>
<sst xmlns="http://schemas.openxmlformats.org/spreadsheetml/2006/main" count="190" uniqueCount="90">
  <si>
    <t>EMPLOYEE ANALYSIS DASHBOARD</t>
  </si>
  <si>
    <t>Employee demographics, department, salary and experience insights</t>
  </si>
  <si>
    <t>TOTAL EMPLOYEES</t>
  </si>
  <si>
    <t>TOTAL SALARY</t>
  </si>
  <si>
    <t>AVERAGE SALARY</t>
  </si>
  <si>
    <t>TOP DEPARTMENT</t>
  </si>
  <si>
    <t>IT (5)</t>
  </si>
  <si>
    <t>All charts are based directly on the Employee Data sheet.</t>
  </si>
  <si>
    <t>EmployeeID</t>
  </si>
  <si>
    <t>EmployeeName</t>
  </si>
  <si>
    <t>Department</t>
  </si>
  <si>
    <t>JobTitle</t>
  </si>
  <si>
    <t>Gender</t>
  </si>
  <si>
    <t>Age</t>
  </si>
  <si>
    <t>Salary</t>
  </si>
  <si>
    <t>JoiningDate</t>
  </si>
  <si>
    <t>City</t>
  </si>
  <si>
    <t>ExperienceYears</t>
  </si>
  <si>
    <t>EMP001</t>
  </si>
  <si>
    <t>RahulSharma</t>
  </si>
  <si>
    <t>IT</t>
  </si>
  <si>
    <t>SoftwareDeveloper</t>
  </si>
  <si>
    <t>Male</t>
  </si>
  <si>
    <t>Delhi</t>
  </si>
  <si>
    <t>EMP002</t>
  </si>
  <si>
    <t>PriyaSingh</t>
  </si>
  <si>
    <t>HR</t>
  </si>
  <si>
    <t>HRExecutive</t>
  </si>
  <si>
    <t>Female</t>
  </si>
  <si>
    <t>Meerut</t>
  </si>
  <si>
    <t>EMP003</t>
  </si>
  <si>
    <t>AmitVerma</t>
  </si>
  <si>
    <t>Finance</t>
  </si>
  <si>
    <t>Accountant</t>
  </si>
  <si>
    <t>Noida</t>
  </si>
  <si>
    <t>EMP004</t>
  </si>
  <si>
    <t>NehaGupta</t>
  </si>
  <si>
    <t>Marketing</t>
  </si>
  <si>
    <t>MarketingExecutive</t>
  </si>
  <si>
    <t>EMP005</t>
  </si>
  <si>
    <t>ArjunKumar</t>
  </si>
  <si>
    <t>DataAnalyst</t>
  </si>
  <si>
    <t>Gurgaon</t>
  </si>
  <si>
    <t>EMP006</t>
  </si>
  <si>
    <t>SnehaPatel</t>
  </si>
  <si>
    <t>Sales</t>
  </si>
  <si>
    <t>SalesExecutive</t>
  </si>
  <si>
    <t>Jaipur</t>
  </si>
  <si>
    <t>EMP007</t>
  </si>
  <si>
    <t>RohitMehta</t>
  </si>
  <si>
    <t>ProjectManager</t>
  </si>
  <si>
    <t>EMP008</t>
  </si>
  <si>
    <t>AnjaliYadav</t>
  </si>
  <si>
    <t>HRManager</t>
  </si>
  <si>
    <t>Lucknow</t>
  </si>
  <si>
    <t>EMP009</t>
  </si>
  <si>
    <t>VikashGupta</t>
  </si>
  <si>
    <t>FinancialAnalyst</t>
  </si>
  <si>
    <t>EMP010</t>
  </si>
  <si>
    <t>PoojaGarwal</t>
  </si>
  <si>
    <t>SalesManager</t>
  </si>
  <si>
    <t>EMP011</t>
  </si>
  <si>
    <t>KaranSingh</t>
  </si>
  <si>
    <t>WebDeveloper</t>
  </si>
  <si>
    <t>EMP012</t>
  </si>
  <si>
    <t>RiyaJain</t>
  </si>
  <si>
    <t>ContentWriter</t>
  </si>
  <si>
    <t>EMP013</t>
  </si>
  <si>
    <t>ManishKumar</t>
  </si>
  <si>
    <t>Operations</t>
  </si>
  <si>
    <t>OperationsManager</t>
  </si>
  <si>
    <t>EMP014</t>
  </si>
  <si>
    <t>SimranKaur</t>
  </si>
  <si>
    <t>Chandigarh</t>
  </si>
  <si>
    <t>EMP015</t>
  </si>
  <si>
    <t>NitinSharma</t>
  </si>
  <si>
    <t>SystemAdministrator</t>
  </si>
  <si>
    <t>Employee Count</t>
  </si>
  <si>
    <t>Total Salary</t>
  </si>
  <si>
    <t>Average Salary</t>
  </si>
  <si>
    <t>Age Group</t>
  </si>
  <si>
    <t>18-25</t>
  </si>
  <si>
    <t>26-30</t>
  </si>
  <si>
    <t>31-35</t>
  </si>
  <si>
    <t>36-40</t>
  </si>
  <si>
    <t>Sum</t>
  </si>
  <si>
    <t>Average</t>
  </si>
  <si>
    <t>Running Total</t>
  </si>
  <si>
    <t>Count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</si>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</sst>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dd\-mmm\-yyyy"/>
    <numFmt numFmtId="166" formatCode="\₹#,##0.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20"/>
      <color rgb="FFFFFFFF"/>
      <name val="Calibri"/>
      <family val="2"/>
    </font>
    <font>
      <i/>
      <sz val="11"/>
      <color rgb="FFFFFFFF"/>
      <name val="Calibri"/>
      <family val="2"/>
    </font>
    <font>
      <b/>
      <sz val="10"/>
      <color rgb="FF404040"/>
      <name val="Calibri"/>
      <family val="2"/>
    </font>
    <font>
      <b/>
      <sz val="18"/>
      <name val="Calibri"/>
      <family val="2"/>
    </font>
    <font>
      <i/>
      <sz val="11"/>
      <color rgb="FF40404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48235"/>
      </patternFill>
    </fill>
    <fill>
      <patternFill patternType="solid">
        <fgColor rgb="FFDDEBF7"/>
      </patternFill>
    </fill>
    <fill>
      <patternFill patternType="solid">
        <fgColor rgb="FF385723"/>
      </patternFill>
    </fill>
    <fill>
      <patternFill patternType="solid">
        <fgColor rgb="FFFFFFFF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1" fontId="5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164" fontId="0" fillId="0" borderId="0" xfId="0" applyNumberFormat="1"/>
    <xf numFmtId="166" fontId="0" fillId="0" borderId="0" xfId="0" applyNumberFormat="1"/>
    <xf numFmtId="0" fontId="7" fillId="6" borderId="0" xfId="0" applyFont="1" applyFill="1"/>
    <xf numFmtId="0" fontId="8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 Distribution by Gender</a:t>
            </a:r>
          </a:p>
        </c:rich>
      </c:tx>
      <c:layout>
        <c:manualLayout>
          <c:xMode val="edge"/>
          <c:yMode val="edge"/>
          <c:x val="9.6678055555555559E-2"/>
          <c:y val="1.007936507936507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 Data'!$B$9</c:f>
              <c:strCache>
                <c:ptCount val="1"/>
                <c:pt idx="0">
                  <c:v>Employee 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1540-49A6-9AA5-645E7C3A01D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521-4D82-9C1C-4CC3AE7B87D4}"/>
              </c:ext>
            </c:extLst>
          </c:dPt>
          <c:dLbls>
            <c:dLbl>
              <c:idx val="0"/>
              <c:layout>
                <c:manualLayout>
                  <c:x val="-0.23529749999999994"/>
                  <c:y val="-2.5653571428571428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40-49A6-9AA5-645E7C3A01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Data'!$A$10:$A$11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'Dashboard Data'!$B$10:$B$11</c:f>
              <c:numCache>
                <c:formatCode>General</c:formatCode>
                <c:ptCount val="2"/>
                <c:pt idx="0">
                  <c:v>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0-49A6-9AA5-645E7C3A01D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Employees by Department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Data'!$B$1</c:f>
              <c:strCache>
                <c:ptCount val="1"/>
                <c:pt idx="0">
                  <c:v>Employee 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532-4D2A-B1C7-6770E7013CD4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532-4D2A-B1C7-6770E7013CD4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532-4D2A-B1C7-6770E7013CD4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532-4D2A-B1C7-6770E7013CD4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7532-4D2A-B1C7-6770E7013CD4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7532-4D2A-B1C7-6770E7013C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Data'!$A$2:$A$7</c:f>
              <c:strCache>
                <c:ptCount val="6"/>
                <c:pt idx="0">
                  <c:v>IT</c:v>
                </c:pt>
                <c:pt idx="1">
                  <c:v>HR</c:v>
                </c:pt>
                <c:pt idx="2">
                  <c:v>Finance</c:v>
                </c:pt>
                <c:pt idx="3">
                  <c:v>Marketing</c:v>
                </c:pt>
                <c:pt idx="4">
                  <c:v>Sales</c:v>
                </c:pt>
                <c:pt idx="5">
                  <c:v>Operations</c:v>
                </c:pt>
              </c:strCache>
            </c:strRef>
          </c:cat>
          <c:val>
            <c:numRef>
              <c:f>'Dashboard Data'!$B$2:$B$7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4-4143-9B68-78EF091B08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Employees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Salary by Department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Data'!$C$1</c:f>
              <c:strCache>
                <c:ptCount val="1"/>
                <c:pt idx="0">
                  <c:v>Total Salary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D74-4D83-8692-9F9CB404346D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D74-4D83-8692-9F9CB404346D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D74-4D83-8692-9F9CB404346D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D74-4D83-8692-9F9CB404346D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ED74-4D83-8692-9F9CB404346D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ED74-4D83-8692-9F9CB4043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'Dashboard Data'!$A$2:$A$7</c:f>
              <c:strCache>
                <c:ptCount val="6"/>
                <c:pt idx="0">
                  <c:v>IT</c:v>
                </c:pt>
                <c:pt idx="1">
                  <c:v>HR</c:v>
                </c:pt>
                <c:pt idx="2">
                  <c:v>Finance</c:v>
                </c:pt>
                <c:pt idx="3">
                  <c:v>Marketing</c:v>
                </c:pt>
                <c:pt idx="4">
                  <c:v>Sales</c:v>
                </c:pt>
                <c:pt idx="5">
                  <c:v>Operations</c:v>
                </c:pt>
              </c:strCache>
            </c:strRef>
          </c:cat>
          <c:val>
            <c:numRef>
              <c:f>'Dashboard Data'!$C$2:$C$7</c:f>
              <c:numCache>
                <c:formatCode>General</c:formatCode>
                <c:ptCount val="6"/>
                <c:pt idx="0">
                  <c:v>294000</c:v>
                </c:pt>
                <c:pt idx="1">
                  <c:v>114000</c:v>
                </c:pt>
                <c:pt idx="2">
                  <c:v>125000</c:v>
                </c:pt>
                <c:pt idx="3">
                  <c:v>93000</c:v>
                </c:pt>
                <c:pt idx="4">
                  <c:v>149000</c:v>
                </c:pt>
                <c:pt idx="5">
                  <c:v>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6-47B5-BA51-EB6E13258C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Salary (₹)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 Distribution by Age Group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Data'!$B$12</c:f>
              <c:strCache>
                <c:ptCount val="1"/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DBC-4DC5-BBFA-56DD938B515A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DBC-4DC5-BBFA-56DD938B515A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8DBC-4DC5-BBFA-56DD938B515A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8DBC-4DC5-BBFA-56DD938B51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Data'!$A$13:$A$16</c:f>
              <c:strCache>
                <c:ptCount val="4"/>
                <c:pt idx="0">
                  <c:v>Age Group</c:v>
                </c:pt>
                <c:pt idx="1">
                  <c:v>18-25</c:v>
                </c:pt>
                <c:pt idx="2">
                  <c:v>26-30</c:v>
                </c:pt>
                <c:pt idx="3">
                  <c:v>31-35</c:v>
                </c:pt>
              </c:strCache>
            </c:strRef>
          </c:cat>
          <c:val>
            <c:numRef>
              <c:f>'Dashboard Data'!$B$13:$B$16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5-4F0C-93F0-2865F05B3D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 Group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Employees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 Distribution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'Dashboard Data'!$B$18</c:f>
              <c:strCache>
                <c:ptCount val="1"/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DE5-4B53-A9FC-EEAF3B1E5CDD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DE5-4B53-A9FC-EEAF3B1E5CDD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0DE5-4B53-A9FC-EEAF3B1E5CDD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0DE5-4B53-A9FC-EEAF3B1E5CDD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0DE5-4B53-A9FC-EEAF3B1E5CDD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0DE5-4B53-A9FC-EEAF3B1E5CDD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0DE5-4B53-A9FC-EEAF3B1E5C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Data'!$A$19:$A$25</c:f>
              <c:strCache>
                <c:ptCount val="7"/>
                <c:pt idx="0">
                  <c:v>City</c:v>
                </c:pt>
                <c:pt idx="1">
                  <c:v>Chandigarh</c:v>
                </c:pt>
                <c:pt idx="2">
                  <c:v>Delhi</c:v>
                </c:pt>
                <c:pt idx="3">
                  <c:v>Gurgaon</c:v>
                </c:pt>
                <c:pt idx="4">
                  <c:v>Jaipur</c:v>
                </c:pt>
                <c:pt idx="5">
                  <c:v>Lucknow</c:v>
                </c:pt>
                <c:pt idx="6">
                  <c:v>Meerut</c:v>
                </c:pt>
              </c:strCache>
            </c:strRef>
          </c:cat>
          <c:val>
            <c:numRef>
              <c:f>'Dashboard Data'!$B$19:$B$25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4-4A51-AD97-736291C43C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Employees</a:t>
                </a:r>
              </a:p>
            </c:rich>
          </c:tx>
          <c:layout>
            <c:manualLayout>
              <c:xMode val="edge"/>
              <c:yMode val="edge"/>
              <c:x val="6.7195767195767199E-3"/>
              <c:y val="0.3482464285714285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City</a:t>
                </a:r>
              </a:p>
            </c:rich>
          </c:tx>
          <c:layout>
            <c:manualLayout>
              <c:xMode val="edge"/>
              <c:yMode val="edge"/>
              <c:x val="0.46874417989417982"/>
              <c:y val="0.83943492063492064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 vs Experience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Employees</c:v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C3-4AA7-9D54-97E4B4B6D932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0C3-4AA7-9D54-97E4B4B6D932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95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0C3-4AA7-9D54-97E4B4B6D932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9525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0C3-4AA7-9D54-97E4B4B6D932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9525" cap="rnd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0C3-4AA7-9D54-97E4B4B6D932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9525" cap="rnd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0C3-4AA7-9D54-97E4B4B6D932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0C3-4AA7-9D54-97E4B4B6D932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0C3-4AA7-9D54-97E4B4B6D932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0C3-4AA7-9D54-97E4B4B6D932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0C3-4AA7-9D54-97E4B4B6D932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0C3-4AA7-9D54-97E4B4B6D932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0C3-4AA7-9D54-97E4B4B6D932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0C3-4AA7-9D54-97E4B4B6D932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0C3-4AA7-9D54-97E4B4B6D932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30C3-4AA7-9D54-97E4B4B6D932}"/>
              </c:ext>
            </c:extLst>
          </c:dPt>
          <c:xVal>
            <c:numRef>
              <c:f>'Employee Data'!$J$2:$J$16</c:f>
              <c:numCache>
                <c:formatCode>General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8</c:v>
                </c:pt>
                <c:pt idx="7">
                  <c:v>7</c:v>
                </c:pt>
                <c:pt idx="8">
                  <c:v>5</c:v>
                </c:pt>
                <c:pt idx="9">
                  <c:v>7</c:v>
                </c:pt>
                <c:pt idx="10">
                  <c:v>1</c:v>
                </c:pt>
                <c:pt idx="11">
                  <c:v>4</c:v>
                </c:pt>
                <c:pt idx="12">
                  <c:v>9</c:v>
                </c:pt>
                <c:pt idx="13">
                  <c:v>3</c:v>
                </c:pt>
                <c:pt idx="14">
                  <c:v>6</c:v>
                </c:pt>
              </c:numCache>
            </c:numRef>
          </c:xVal>
          <c:yVal>
            <c:numRef>
              <c:f>'Employee Data'!$G$2:$G$16</c:f>
              <c:numCache>
                <c:formatCode>\₹#,##0</c:formatCode>
                <c:ptCount val="15"/>
                <c:pt idx="0">
                  <c:v>55000</c:v>
                </c:pt>
                <c:pt idx="1">
                  <c:v>42000</c:v>
                </c:pt>
                <c:pt idx="2">
                  <c:v>60000</c:v>
                </c:pt>
                <c:pt idx="3">
                  <c:v>48000</c:v>
                </c:pt>
                <c:pt idx="4">
                  <c:v>52000</c:v>
                </c:pt>
                <c:pt idx="5">
                  <c:v>38000</c:v>
                </c:pt>
                <c:pt idx="6">
                  <c:v>85000</c:v>
                </c:pt>
                <c:pt idx="7">
                  <c:v>72000</c:v>
                </c:pt>
                <c:pt idx="8">
                  <c:v>65000</c:v>
                </c:pt>
                <c:pt idx="9">
                  <c:v>70000</c:v>
                </c:pt>
                <c:pt idx="10">
                  <c:v>40000</c:v>
                </c:pt>
                <c:pt idx="11">
                  <c:v>45000</c:v>
                </c:pt>
                <c:pt idx="12">
                  <c:v>78000</c:v>
                </c:pt>
                <c:pt idx="13">
                  <c:v>41000</c:v>
                </c:pt>
                <c:pt idx="14">
                  <c:v>62000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91-4243-8FF4-C5A6193F7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Experience (Years)</a:t>
                </a:r>
              </a:p>
            </c:rich>
          </c:tx>
          <c:layout>
            <c:manualLayout>
              <c:xMode val="edge"/>
              <c:yMode val="edge"/>
              <c:x val="0.3653716931216931"/>
              <c:y val="0.7619492063492062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Salary (₹)</a:t>
                </a:r>
              </a:p>
            </c:rich>
          </c:tx>
          <c:layout>
            <c:manualLayout>
              <c:xMode val="edge"/>
              <c:yMode val="edge"/>
              <c:x val="0.15455026455026455"/>
              <c:y val="0.2594218253968254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7</xdr:row>
      <xdr:rowOff>129540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731520</xdr:colOff>
      <xdr:row>8</xdr:row>
      <xdr:rowOff>0</xdr:rowOff>
    </xdr:from>
    <xdr:ext cx="432054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106680</xdr:colOff>
      <xdr:row>27</xdr:row>
      <xdr:rowOff>60960</xdr:rowOff>
    </xdr:from>
    <xdr:ext cx="378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426720</xdr:colOff>
      <xdr:row>7</xdr:row>
      <xdr:rowOff>114300</xdr:rowOff>
    </xdr:from>
    <xdr:ext cx="378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121920</xdr:colOff>
      <xdr:row>27</xdr:row>
      <xdr:rowOff>38100</xdr:rowOff>
    </xdr:from>
    <xdr:ext cx="378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12</xdr:col>
      <xdr:colOff>274320</xdr:colOff>
      <xdr:row>27</xdr:row>
      <xdr:rowOff>53340</xdr:rowOff>
    </xdr:from>
    <xdr:ext cx="378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DataTable" displayName="EmployeeDataTable" ref="A1:J16">
  <autoFilter ref="A1:J16" xr:uid="{00000000-0009-0000-0100-000001000000}"/>
  <tableColumns count="10">
    <tableColumn id="1" xr3:uid="{00000000-0010-0000-0000-000001000000}" name="EmployeeID"/>
    <tableColumn id="2" xr3:uid="{00000000-0010-0000-0000-000002000000}" name="EmployeeName"/>
    <tableColumn id="3" xr3:uid="{00000000-0010-0000-0000-000003000000}" name="Department"/>
    <tableColumn id="4" xr3:uid="{00000000-0010-0000-0000-000004000000}" name="JobTitle"/>
    <tableColumn id="5" xr3:uid="{00000000-0010-0000-0000-000005000000}" name="Gender"/>
    <tableColumn id="6" xr3:uid="{00000000-0010-0000-0000-000006000000}" name="Age"/>
    <tableColumn id="7" xr3:uid="{00000000-0010-0000-0000-000007000000}" name="Salary"/>
    <tableColumn id="8" xr3:uid="{00000000-0010-0000-0000-000008000000}" name="JoiningDate"/>
    <tableColumn id="9" xr3:uid="{00000000-0010-0000-0000-000009000000}" name="City"/>
    <tableColumn id="10" xr3:uid="{00000000-0010-0000-0000-00000A000000}" name="ExperienceYear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abSelected="1" workbookViewId="0">
      <pane ySplit="1" topLeftCell="A2" activePane="bottomLeft" state="frozen"/>
      <selection pane="bottomLeft" activeCell="D18" sqref="D18"/>
    </sheetView>
  </sheetViews>
  <sheetFormatPr defaultRowHeight="14.4" x14ac:dyDescent="0.3"/>
  <cols>
    <col min="1" max="1" width="14" customWidth="1"/>
    <col min="2" max="2" width="18" customWidth="1"/>
    <col min="3" max="3" width="15" customWidth="1"/>
    <col min="4" max="4" width="24" customWidth="1"/>
    <col min="5" max="5" width="12" customWidth="1"/>
    <col min="6" max="6" width="9" customWidth="1"/>
    <col min="7" max="7" width="14" customWidth="1"/>
    <col min="8" max="8" width="16" customWidth="1"/>
    <col min="9" max="9" width="14" customWidth="1"/>
    <col min="10" max="10" width="17" customWidth="1"/>
  </cols>
  <sheetData>
    <row r="1" spans="1:10" x14ac:dyDescent="0.3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</row>
    <row r="2" spans="1:10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28</v>
      </c>
      <c r="G2" s="3">
        <v>55000</v>
      </c>
      <c r="H2" s="4">
        <v>44666</v>
      </c>
      <c r="I2" s="2" t="s">
        <v>23</v>
      </c>
      <c r="J2" s="2">
        <v>4</v>
      </c>
    </row>
    <row r="3" spans="1:10" x14ac:dyDescent="0.3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>
        <v>26</v>
      </c>
      <c r="G3" s="3">
        <v>42000</v>
      </c>
      <c r="H3" s="4">
        <v>44936</v>
      </c>
      <c r="I3" s="2" t="s">
        <v>29</v>
      </c>
      <c r="J3" s="2">
        <v>3</v>
      </c>
    </row>
    <row r="4" spans="1:10" x14ac:dyDescent="0.3">
      <c r="A4" s="2" t="s">
        <v>30</v>
      </c>
      <c r="B4" s="2" t="s">
        <v>31</v>
      </c>
      <c r="C4" s="2" t="s">
        <v>32</v>
      </c>
      <c r="D4" s="2" t="s">
        <v>33</v>
      </c>
      <c r="E4" s="2" t="s">
        <v>22</v>
      </c>
      <c r="F4" s="2">
        <v>31</v>
      </c>
      <c r="G4" s="3">
        <v>60000</v>
      </c>
      <c r="H4" s="4">
        <v>44063</v>
      </c>
      <c r="I4" s="2" t="s">
        <v>34</v>
      </c>
      <c r="J4" s="2">
        <v>6</v>
      </c>
    </row>
    <row r="5" spans="1:10" x14ac:dyDescent="0.3">
      <c r="A5" s="2" t="s">
        <v>35</v>
      </c>
      <c r="B5" s="2" t="s">
        <v>36</v>
      </c>
      <c r="C5" s="2" t="s">
        <v>37</v>
      </c>
      <c r="D5" s="2" t="s">
        <v>38</v>
      </c>
      <c r="E5" s="2" t="s">
        <v>28</v>
      </c>
      <c r="F5" s="2">
        <v>29</v>
      </c>
      <c r="G5" s="3">
        <v>48000</v>
      </c>
      <c r="H5" s="4">
        <v>44352</v>
      </c>
      <c r="I5" s="2" t="s">
        <v>23</v>
      </c>
      <c r="J5" s="2">
        <v>5</v>
      </c>
    </row>
    <row r="6" spans="1:10" x14ac:dyDescent="0.3">
      <c r="A6" s="2" t="s">
        <v>39</v>
      </c>
      <c r="B6" s="2" t="s">
        <v>40</v>
      </c>
      <c r="C6" s="2" t="s">
        <v>20</v>
      </c>
      <c r="D6" s="2" t="s">
        <v>41</v>
      </c>
      <c r="E6" s="2" t="s">
        <v>22</v>
      </c>
      <c r="F6" s="2">
        <v>27</v>
      </c>
      <c r="G6" s="3">
        <v>52000</v>
      </c>
      <c r="H6" s="4">
        <v>45003</v>
      </c>
      <c r="I6" s="2" t="s">
        <v>42</v>
      </c>
      <c r="J6" s="2">
        <v>3</v>
      </c>
    </row>
    <row r="7" spans="1:10" x14ac:dyDescent="0.3">
      <c r="A7" s="2" t="s">
        <v>43</v>
      </c>
      <c r="B7" s="2" t="s">
        <v>44</v>
      </c>
      <c r="C7" s="2" t="s">
        <v>45</v>
      </c>
      <c r="D7" s="2" t="s">
        <v>46</v>
      </c>
      <c r="E7" s="2" t="s">
        <v>28</v>
      </c>
      <c r="F7" s="2">
        <v>25</v>
      </c>
      <c r="G7" s="3">
        <v>38000</v>
      </c>
      <c r="H7" s="4">
        <v>45334</v>
      </c>
      <c r="I7" s="2" t="s">
        <v>47</v>
      </c>
      <c r="J7" s="2">
        <v>2</v>
      </c>
    </row>
    <row r="8" spans="1:10" x14ac:dyDescent="0.3">
      <c r="A8" s="2" t="s">
        <v>48</v>
      </c>
      <c r="B8" s="2" t="s">
        <v>49</v>
      </c>
      <c r="C8" s="2" t="s">
        <v>20</v>
      </c>
      <c r="D8" s="2" t="s">
        <v>50</v>
      </c>
      <c r="E8" s="2" t="s">
        <v>22</v>
      </c>
      <c r="F8" s="2">
        <v>35</v>
      </c>
      <c r="G8" s="3">
        <v>85000</v>
      </c>
      <c r="H8" s="4">
        <v>43405</v>
      </c>
      <c r="I8" s="2" t="s">
        <v>34</v>
      </c>
      <c r="J8" s="2">
        <v>8</v>
      </c>
    </row>
    <row r="9" spans="1:10" x14ac:dyDescent="0.3">
      <c r="A9" s="2" t="s">
        <v>51</v>
      </c>
      <c r="B9" s="2" t="s">
        <v>52</v>
      </c>
      <c r="C9" s="2" t="s">
        <v>26</v>
      </c>
      <c r="D9" s="2" t="s">
        <v>53</v>
      </c>
      <c r="E9" s="2" t="s">
        <v>28</v>
      </c>
      <c r="F9" s="2">
        <v>34</v>
      </c>
      <c r="G9" s="3">
        <v>72000</v>
      </c>
      <c r="H9" s="4">
        <v>43668</v>
      </c>
      <c r="I9" s="2" t="s">
        <v>54</v>
      </c>
      <c r="J9" s="2">
        <v>7</v>
      </c>
    </row>
    <row r="10" spans="1:10" x14ac:dyDescent="0.3">
      <c r="A10" s="2" t="s">
        <v>55</v>
      </c>
      <c r="B10" s="2" t="s">
        <v>56</v>
      </c>
      <c r="C10" s="2" t="s">
        <v>32</v>
      </c>
      <c r="D10" s="2" t="s">
        <v>57</v>
      </c>
      <c r="E10" s="2" t="s">
        <v>22</v>
      </c>
      <c r="F10" s="2">
        <v>30</v>
      </c>
      <c r="G10" s="3">
        <v>65000</v>
      </c>
      <c r="H10" s="4">
        <v>44453</v>
      </c>
      <c r="I10" s="2" t="s">
        <v>23</v>
      </c>
      <c r="J10" s="2">
        <v>5</v>
      </c>
    </row>
    <row r="11" spans="1:10" x14ac:dyDescent="0.3">
      <c r="A11" s="2" t="s">
        <v>58</v>
      </c>
      <c r="B11" s="2" t="s">
        <v>59</v>
      </c>
      <c r="C11" s="2" t="s">
        <v>45</v>
      </c>
      <c r="D11" s="2" t="s">
        <v>60</v>
      </c>
      <c r="E11" s="2" t="s">
        <v>28</v>
      </c>
      <c r="F11" s="2">
        <v>33</v>
      </c>
      <c r="G11" s="3">
        <v>70000</v>
      </c>
      <c r="H11" s="4">
        <v>43802</v>
      </c>
      <c r="I11" s="2" t="s">
        <v>42</v>
      </c>
      <c r="J11" s="2">
        <v>7</v>
      </c>
    </row>
    <row r="12" spans="1:10" x14ac:dyDescent="0.3">
      <c r="A12" s="2" t="s">
        <v>61</v>
      </c>
      <c r="B12" s="2" t="s">
        <v>62</v>
      </c>
      <c r="C12" s="2" t="s">
        <v>20</v>
      </c>
      <c r="D12" s="2" t="s">
        <v>63</v>
      </c>
      <c r="E12" s="2" t="s">
        <v>22</v>
      </c>
      <c r="F12" s="2">
        <v>24</v>
      </c>
      <c r="G12" s="3">
        <v>40000</v>
      </c>
      <c r="H12" s="4">
        <v>45432</v>
      </c>
      <c r="I12" s="2" t="s">
        <v>29</v>
      </c>
      <c r="J12" s="2">
        <v>1</v>
      </c>
    </row>
    <row r="13" spans="1:10" x14ac:dyDescent="0.3">
      <c r="A13" s="2" t="s">
        <v>64</v>
      </c>
      <c r="B13" s="2" t="s">
        <v>65</v>
      </c>
      <c r="C13" s="2" t="s">
        <v>37</v>
      </c>
      <c r="D13" s="2" t="s">
        <v>66</v>
      </c>
      <c r="E13" s="2" t="s">
        <v>28</v>
      </c>
      <c r="F13" s="2">
        <v>27</v>
      </c>
      <c r="G13" s="3">
        <v>45000</v>
      </c>
      <c r="H13" s="4">
        <v>44845</v>
      </c>
      <c r="I13" s="2" t="s">
        <v>23</v>
      </c>
      <c r="J13" s="2">
        <v>4</v>
      </c>
    </row>
    <row r="14" spans="1:10" x14ac:dyDescent="0.3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22</v>
      </c>
      <c r="F14" s="2">
        <v>38</v>
      </c>
      <c r="G14" s="3">
        <v>78000</v>
      </c>
      <c r="H14" s="4">
        <v>42809</v>
      </c>
      <c r="I14" s="2" t="s">
        <v>34</v>
      </c>
      <c r="J14" s="2">
        <v>9</v>
      </c>
    </row>
    <row r="15" spans="1:10" x14ac:dyDescent="0.3">
      <c r="A15" s="2" t="s">
        <v>71</v>
      </c>
      <c r="B15" s="2" t="s">
        <v>72</v>
      </c>
      <c r="C15" s="2" t="s">
        <v>45</v>
      </c>
      <c r="D15" s="2" t="s">
        <v>46</v>
      </c>
      <c r="E15" s="2" t="s">
        <v>28</v>
      </c>
      <c r="F15" s="2">
        <v>26</v>
      </c>
      <c r="G15" s="3">
        <v>41000</v>
      </c>
      <c r="H15" s="4">
        <v>45145</v>
      </c>
      <c r="I15" s="2" t="s">
        <v>73</v>
      </c>
      <c r="J15" s="2">
        <v>3</v>
      </c>
    </row>
    <row r="16" spans="1:10" x14ac:dyDescent="0.3">
      <c r="A16" s="2" t="s">
        <v>74</v>
      </c>
      <c r="B16" s="2" t="s">
        <v>75</v>
      </c>
      <c r="C16" s="2" t="s">
        <v>20</v>
      </c>
      <c r="D16" s="2" t="s">
        <v>76</v>
      </c>
      <c r="E16" s="2" t="s">
        <v>22</v>
      </c>
      <c r="F16" s="2">
        <v>32</v>
      </c>
      <c r="G16" s="3">
        <v>62000</v>
      </c>
      <c r="H16" s="4">
        <v>43855</v>
      </c>
      <c r="I16" s="2" t="s">
        <v>23</v>
      </c>
      <c r="J16" s="2">
        <v>6</v>
      </c>
    </row>
  </sheetData>
  <conditionalFormatting sqref="G2:G1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{E004E797-0CEA-44B3-9BB6-099991695BD1}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04E797-0CEA-44B3-9BB6-099991695B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6209A-29DB-4484-9241-6B79B126D19F}">
  <dimension ref="A1:D20"/>
  <sheetViews>
    <sheetView showGridLines="0" workbookViewId="0">
      <selection activeCell="D9" sqref="D9"/>
    </sheetView>
  </sheetViews>
  <sheetFormatPr defaultRowHeight="14.4" x14ac:dyDescent="0.3"/>
  <cols>
    <col min="1" max="4" width="18" customWidth="1"/>
  </cols>
  <sheetData>
    <row r="1" spans="1:4" x14ac:dyDescent="0.3">
      <c r="A1" s="17" t="s">
        <v>10</v>
      </c>
      <c r="B1" s="17" t="s">
        <v>77</v>
      </c>
      <c r="C1" s="17" t="s">
        <v>78</v>
      </c>
      <c r="D1" s="17" t="s">
        <v>79</v>
      </c>
    </row>
    <row r="2" spans="1:4" x14ac:dyDescent="0.3">
      <c r="A2" t="s">
        <v>20</v>
      </c>
      <c r="B2">
        <v>5</v>
      </c>
      <c r="C2" s="14">
        <v>294000</v>
      </c>
      <c r="D2" s="15">
        <v>58800</v>
      </c>
    </row>
    <row r="3" spans="1:4" x14ac:dyDescent="0.3">
      <c r="A3" t="s">
        <v>26</v>
      </c>
      <c r="B3">
        <v>2</v>
      </c>
      <c r="C3" s="14">
        <v>114000</v>
      </c>
      <c r="D3" s="15">
        <v>57000</v>
      </c>
    </row>
    <row r="4" spans="1:4" x14ac:dyDescent="0.3">
      <c r="A4" t="s">
        <v>32</v>
      </c>
      <c r="B4">
        <v>2</v>
      </c>
      <c r="C4" s="14">
        <v>125000</v>
      </c>
      <c r="D4" s="15">
        <v>62500</v>
      </c>
    </row>
    <row r="5" spans="1:4" x14ac:dyDescent="0.3">
      <c r="A5" t="s">
        <v>37</v>
      </c>
      <c r="B5">
        <v>2</v>
      </c>
      <c r="C5" s="14">
        <v>93000</v>
      </c>
      <c r="D5" s="15">
        <v>46500</v>
      </c>
    </row>
    <row r="6" spans="1:4" x14ac:dyDescent="0.3">
      <c r="A6" t="s">
        <v>45</v>
      </c>
      <c r="B6">
        <v>3</v>
      </c>
      <c r="C6" s="14">
        <v>149000</v>
      </c>
      <c r="D6" s="15">
        <v>49666.666666666657</v>
      </c>
    </row>
    <row r="7" spans="1:4" x14ac:dyDescent="0.3">
      <c r="A7" t="s">
        <v>69</v>
      </c>
      <c r="B7">
        <v>1</v>
      </c>
      <c r="C7" s="14">
        <v>78000</v>
      </c>
      <c r="D7" s="15">
        <v>78000</v>
      </c>
    </row>
    <row r="9" spans="1:4" x14ac:dyDescent="0.3">
      <c r="A9" s="16" t="s">
        <v>12</v>
      </c>
      <c r="B9" s="16" t="s">
        <v>77</v>
      </c>
    </row>
    <row r="10" spans="1:4" x14ac:dyDescent="0.3">
      <c r="A10" t="s">
        <v>22</v>
      </c>
      <c r="B10">
        <v>8</v>
      </c>
    </row>
    <row r="11" spans="1:4" x14ac:dyDescent="0.3">
      <c r="A11" t="s">
        <v>28</v>
      </c>
      <c r="B11">
        <v>7</v>
      </c>
    </row>
    <row r="13" spans="1:4" x14ac:dyDescent="0.3">
      <c r="A13" s="16" t="s">
        <v>16</v>
      </c>
      <c r="B13" s="16" t="s">
        <v>77</v>
      </c>
    </row>
    <row r="14" spans="1:4" x14ac:dyDescent="0.3">
      <c r="A14" t="s">
        <v>73</v>
      </c>
      <c r="B14">
        <v>1</v>
      </c>
    </row>
    <row r="15" spans="1:4" x14ac:dyDescent="0.3">
      <c r="A15" t="s">
        <v>23</v>
      </c>
      <c r="B15">
        <v>5</v>
      </c>
    </row>
    <row r="16" spans="1:4" x14ac:dyDescent="0.3">
      <c r="A16" t="s">
        <v>42</v>
      </c>
      <c r="B16">
        <v>2</v>
      </c>
    </row>
    <row r="17" spans="1:2" x14ac:dyDescent="0.3">
      <c r="A17" t="s">
        <v>47</v>
      </c>
      <c r="B17">
        <v>1</v>
      </c>
    </row>
    <row r="18" spans="1:2" x14ac:dyDescent="0.3">
      <c r="A18" t="s">
        <v>54</v>
      </c>
      <c r="B18">
        <v>1</v>
      </c>
    </row>
    <row r="19" spans="1:2" x14ac:dyDescent="0.3">
      <c r="A19" t="s">
        <v>29</v>
      </c>
      <c r="B19">
        <v>2</v>
      </c>
    </row>
    <row r="20" spans="1:2" x14ac:dyDescent="0.3">
      <c r="A20" t="s">
        <v>34</v>
      </c>
      <c r="B20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showGridLines="0" workbookViewId="0">
      <selection activeCell="G23" sqref="G23"/>
    </sheetView>
  </sheetViews>
  <sheetFormatPr defaultRowHeight="14.4" x14ac:dyDescent="0.3"/>
  <cols>
    <col min="1" max="18" width="12" customWidth="1"/>
  </cols>
  <sheetData>
    <row r="1" spans="1:18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x14ac:dyDescent="0.3">
      <c r="A3" s="11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9" t="s">
        <v>2</v>
      </c>
      <c r="B5" s="7"/>
      <c r="C5" s="7"/>
      <c r="D5" s="7"/>
      <c r="E5" s="9" t="s">
        <v>3</v>
      </c>
      <c r="F5" s="7"/>
      <c r="G5" s="7"/>
      <c r="H5" s="7"/>
      <c r="I5" s="9" t="s">
        <v>4</v>
      </c>
      <c r="J5" s="7"/>
      <c r="K5" s="7"/>
      <c r="L5" s="7"/>
      <c r="M5" s="9" t="s">
        <v>5</v>
      </c>
      <c r="N5" s="7"/>
      <c r="O5" s="7"/>
      <c r="P5" s="7"/>
      <c r="Q5" s="7"/>
      <c r="R5" s="7"/>
    </row>
    <row r="6" spans="1:18" x14ac:dyDescent="0.3">
      <c r="A6" s="8">
        <v>15</v>
      </c>
      <c r="B6" s="7"/>
      <c r="C6" s="7"/>
      <c r="D6" s="7"/>
      <c r="E6" s="13">
        <v>853000</v>
      </c>
      <c r="F6" s="7"/>
      <c r="G6" s="7"/>
      <c r="H6" s="7"/>
      <c r="I6" s="13">
        <v>56866.666666666657</v>
      </c>
      <c r="J6" s="7"/>
      <c r="K6" s="7"/>
      <c r="L6" s="7"/>
      <c r="M6" s="12" t="s">
        <v>6</v>
      </c>
      <c r="N6" s="7"/>
      <c r="O6" s="7"/>
      <c r="P6" s="7"/>
      <c r="Q6" s="7"/>
      <c r="R6" s="7"/>
    </row>
    <row r="7" spans="1:18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51" spans="1:18" x14ac:dyDescent="0.3">
      <c r="A51" s="10" t="s">
        <v>7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</sheetData>
  <mergeCells count="11">
    <mergeCell ref="A1:R2"/>
    <mergeCell ref="A6:D7"/>
    <mergeCell ref="E5:H5"/>
    <mergeCell ref="I5:L5"/>
    <mergeCell ref="A51:R52"/>
    <mergeCell ref="A3:R3"/>
    <mergeCell ref="A5:D5"/>
    <mergeCell ref="M6:R7"/>
    <mergeCell ref="M5:R5"/>
    <mergeCell ref="E6:H7"/>
    <mergeCell ref="I6:L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/>
  </sheetViews>
  <sheetFormatPr defaultRowHeight="14.4" x14ac:dyDescent="0.3"/>
  <sheetData>
    <row r="1" spans="1:4" x14ac:dyDescent="0.3">
      <c r="A1" t="s">
        <v>10</v>
      </c>
      <c r="B1" t="s">
        <v>77</v>
      </c>
      <c r="C1" t="s">
        <v>78</v>
      </c>
      <c r="D1" t="s">
        <v>79</v>
      </c>
    </row>
    <row r="2" spans="1:4" x14ac:dyDescent="0.3">
      <c r="A2" t="s">
        <v>20</v>
      </c>
      <c r="B2">
        <v>5</v>
      </c>
      <c r="C2">
        <v>294000</v>
      </c>
      <c r="D2">
        <v>58800</v>
      </c>
    </row>
    <row r="3" spans="1:4" x14ac:dyDescent="0.3">
      <c r="A3" t="s">
        <v>26</v>
      </c>
      <c r="B3">
        <v>2</v>
      </c>
      <c r="C3">
        <v>114000</v>
      </c>
      <c r="D3">
        <v>57000</v>
      </c>
    </row>
    <row r="4" spans="1:4" x14ac:dyDescent="0.3">
      <c r="A4" t="s">
        <v>32</v>
      </c>
      <c r="B4">
        <v>2</v>
      </c>
      <c r="C4">
        <v>125000</v>
      </c>
      <c r="D4">
        <v>62500</v>
      </c>
    </row>
    <row r="5" spans="1:4" x14ac:dyDescent="0.3">
      <c r="A5" t="s">
        <v>37</v>
      </c>
      <c r="B5">
        <v>2</v>
      </c>
      <c r="C5">
        <v>93000</v>
      </c>
      <c r="D5">
        <v>46500</v>
      </c>
    </row>
    <row r="6" spans="1:4" x14ac:dyDescent="0.3">
      <c r="A6" t="s">
        <v>45</v>
      </c>
      <c r="B6">
        <v>3</v>
      </c>
      <c r="C6">
        <v>149000</v>
      </c>
      <c r="D6">
        <v>49666.666666666657</v>
      </c>
    </row>
    <row r="7" spans="1:4" x14ac:dyDescent="0.3">
      <c r="A7" t="s">
        <v>69</v>
      </c>
      <c r="B7">
        <v>1</v>
      </c>
      <c r="C7">
        <v>78000</v>
      </c>
      <c r="D7">
        <v>78000</v>
      </c>
    </row>
    <row r="9" spans="1:4" x14ac:dyDescent="0.3">
      <c r="A9" t="s">
        <v>12</v>
      </c>
      <c r="B9" t="s">
        <v>77</v>
      </c>
    </row>
    <row r="10" spans="1:4" x14ac:dyDescent="0.3">
      <c r="A10" t="s">
        <v>22</v>
      </c>
      <c r="B10">
        <v>8</v>
      </c>
    </row>
    <row r="11" spans="1:4" x14ac:dyDescent="0.3">
      <c r="A11" t="s">
        <v>28</v>
      </c>
      <c r="B11">
        <v>7</v>
      </c>
    </row>
    <row r="13" spans="1:4" x14ac:dyDescent="0.3">
      <c r="A13" t="s">
        <v>80</v>
      </c>
      <c r="B13" t="s">
        <v>77</v>
      </c>
    </row>
    <row r="14" spans="1:4" x14ac:dyDescent="0.3">
      <c r="A14" t="s">
        <v>81</v>
      </c>
      <c r="B14">
        <v>2</v>
      </c>
    </row>
    <row r="15" spans="1:4" x14ac:dyDescent="0.3">
      <c r="A15" t="s">
        <v>82</v>
      </c>
      <c r="B15">
        <v>7</v>
      </c>
    </row>
    <row r="16" spans="1:4" x14ac:dyDescent="0.3">
      <c r="A16" t="s">
        <v>83</v>
      </c>
      <c r="B16">
        <v>5</v>
      </c>
    </row>
    <row r="17" spans="1:2" x14ac:dyDescent="0.3">
      <c r="A17" t="s">
        <v>84</v>
      </c>
      <c r="B17">
        <v>1</v>
      </c>
    </row>
    <row r="19" spans="1:2" x14ac:dyDescent="0.3">
      <c r="A19" t="s">
        <v>16</v>
      </c>
      <c r="B19" t="s">
        <v>77</v>
      </c>
    </row>
    <row r="20" spans="1:2" x14ac:dyDescent="0.3">
      <c r="A20" t="s">
        <v>73</v>
      </c>
      <c r="B20">
        <v>1</v>
      </c>
    </row>
    <row r="21" spans="1:2" x14ac:dyDescent="0.3">
      <c r="A21" t="s">
        <v>23</v>
      </c>
      <c r="B21">
        <v>5</v>
      </c>
    </row>
    <row r="22" spans="1:2" x14ac:dyDescent="0.3">
      <c r="A22" t="s">
        <v>42</v>
      </c>
      <c r="B22">
        <v>2</v>
      </c>
    </row>
    <row r="23" spans="1:2" x14ac:dyDescent="0.3">
      <c r="A23" t="s">
        <v>47</v>
      </c>
      <c r="B23">
        <v>1</v>
      </c>
    </row>
    <row r="24" spans="1:2" x14ac:dyDescent="0.3">
      <c r="A24" t="s">
        <v>54</v>
      </c>
      <c r="B24">
        <v>1</v>
      </c>
    </row>
    <row r="25" spans="1:2" x14ac:dyDescent="0.3">
      <c r="A25" t="s">
        <v>29</v>
      </c>
      <c r="B25">
        <v>2</v>
      </c>
    </row>
    <row r="26" spans="1:2" x14ac:dyDescent="0.3">
      <c r="A26" t="s">
        <v>34</v>
      </c>
      <c r="B2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Data</vt:lpstr>
      <vt:lpstr>Summary</vt:lpstr>
      <vt:lpstr>Dashboard</vt:lpstr>
      <vt:lpstr>Dashboard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mohdarshadansari83@gmail.com</cp:lastModifiedBy>
  <dcterms:created xsi:type="dcterms:W3CDTF">2026-09-14T17:26:31Z</dcterms:created>
  <dcterms:modified xsi:type="dcterms:W3CDTF">2026-09-14T18:42:57Z</dcterms:modified>
</cp:coreProperties>
</file>